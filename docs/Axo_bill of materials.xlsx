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zuy\OneDrive\Documents\Zuyang\postdoc\√Shijing Sun\projects\Axo-MOF\Github\"/>
    </mc:Choice>
  </mc:AlternateContent>
  <xr:revisionPtr revIDLastSave="0" documentId="13_ncr:1_{9047FE7D-A60E-403A-A410-1BBB7ED05C81}" xr6:coauthVersionLast="47" xr6:coauthVersionMax="47" xr10:uidLastSave="{00000000-0000-0000-0000-000000000000}"/>
  <bookViews>
    <workbookView xWindow="0" yWindow="625" windowWidth="19200" windowHeight="10655" xr2:uid="{EDD0D8CA-2DF7-4DAF-A5F5-B6DF4B783EEA}"/>
  </bookViews>
  <sheets>
    <sheet name="BOM" sheetId="1" r:id="rId1"/>
    <sheet name="Summary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  <c r="E55" i="1"/>
  <c r="E37" i="1"/>
  <c r="E22" i="1"/>
  <c r="E50" i="1"/>
  <c r="E36" i="1"/>
  <c r="E21" i="1"/>
  <c r="E67" i="1"/>
  <c r="E49" i="1"/>
  <c r="E35" i="1"/>
  <c r="E48" i="1"/>
  <c r="E34" i="1"/>
  <c r="E33" i="1"/>
  <c r="E62" i="1"/>
  <c r="E63" i="1"/>
  <c r="E64" i="1"/>
  <c r="E65" i="1"/>
  <c r="E66" i="1"/>
  <c r="E61" i="1"/>
  <c r="E46" i="1"/>
  <c r="E20" i="1"/>
  <c r="E32" i="1"/>
  <c r="E31" i="1"/>
  <c r="E76" i="1"/>
  <c r="E45" i="1"/>
  <c r="E30" i="1"/>
  <c r="E29" i="1"/>
  <c r="E43" i="1"/>
  <c r="E44" i="1"/>
  <c r="E47" i="1"/>
  <c r="E51" i="1"/>
  <c r="E52" i="1"/>
  <c r="E53" i="1"/>
  <c r="E54" i="1"/>
  <c r="E42" i="1"/>
  <c r="E28" i="1"/>
  <c r="E27" i="1"/>
  <c r="E75" i="1"/>
  <c r="E73" i="1"/>
  <c r="E74" i="1"/>
  <c r="E72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5" i="1"/>
  <c r="E84" i="1"/>
  <c r="E85" i="1"/>
  <c r="E82" i="1"/>
  <c r="E83" i="1"/>
  <c r="E81" i="1"/>
  <c r="E56" i="1" l="1"/>
  <c r="E38" i="1"/>
  <c r="E23" i="1"/>
  <c r="E68" i="1"/>
  <c r="E77" i="1"/>
  <c r="E86" i="1"/>
</calcChain>
</file>

<file path=xl/sharedStrings.xml><?xml version="1.0" encoding="utf-8"?>
<sst xmlns="http://schemas.openxmlformats.org/spreadsheetml/2006/main" count="178" uniqueCount="112">
  <si>
    <t>Bill of Materials, Axo</t>
  </si>
  <si>
    <t>Hardware</t>
  </si>
  <si>
    <t>Item</t>
  </si>
  <si>
    <t>Link</t>
  </si>
  <si>
    <t>Quantity</t>
  </si>
  <si>
    <t>Total</t>
  </si>
  <si>
    <t>Cobalt(II) nitrate hexahydrate, 99%, Thermo Scientific Chemicals</t>
  </si>
  <si>
    <t>2-Methylimidazole, 99%, Thermo Scientific Chemicals</t>
  </si>
  <si>
    <t>Chemicals and Labwares</t>
  </si>
  <si>
    <t>Methanol, 4 Liter, HPLC, Thermo Scientific Chemicals</t>
  </si>
  <si>
    <t>https://www.fishersci.com/shop/products/51-expansion-short-style-glass-shell-vials-without-closures/0333930F</t>
  </si>
  <si>
    <t>From Research Stockroom</t>
  </si>
  <si>
    <t>https://www.fishersci.com/shop/products/2-methylimidazole-99-thermo-scientific/AC127001000#?keyword=2-Methylimidazole</t>
  </si>
  <si>
    <t>https://www.fishersci.com/shop/products/cobalt-ii-nitrate-hexahydrate-99-pure-thermo-scientific/AC213091000</t>
  </si>
  <si>
    <t>Axo base</t>
  </si>
  <si>
    <t>Tool - Single Syringe</t>
  </si>
  <si>
    <t>Tool - Dual Syringe</t>
  </si>
  <si>
    <t>Tool - Vacuum Gripper</t>
  </si>
  <si>
    <t>Tool - Spectrometer</t>
  </si>
  <si>
    <t>Jubilee Motion Platform Kit</t>
  </si>
  <si>
    <t>https://www.filastruder.com/collections/jubilee/products/jubilee-motion-platform-kit</t>
  </si>
  <si>
    <t>Limit Switches</t>
  </si>
  <si>
    <t>2x5 Female IDC Socket Connector</t>
  </si>
  <si>
    <t>Grey Flat Ribbon Cable In Roll</t>
  </si>
  <si>
    <t>M3 Hex Bolt Screw &amp; Flat Head Hex Socket Screws</t>
  </si>
  <si>
    <t>Heat Set Insert Tool Kit</t>
  </si>
  <si>
    <t>Tool Balls for Jubilee (3-pack)</t>
  </si>
  <si>
    <t>Wedge Plate for Jubilee (3-pack)</t>
  </si>
  <si>
    <t>Large Zip Ties</t>
  </si>
  <si>
    <t>Jubilee Aluminum Z Yokes by Mandala Rose Works</t>
  </si>
  <si>
    <t>Raspberry Pi 5 8GB / Vilros Complete Kit</t>
  </si>
  <si>
    <t>26 Pins Standard 0.1" 2.54mm Female Sockets</t>
  </si>
  <si>
    <t>40 Pins Standard 0.1" 2.54mm Sockets</t>
  </si>
  <si>
    <t>26 Pins Connector Flat Ribbon Cable</t>
  </si>
  <si>
    <t>5M GT2 Timing Belt</t>
  </si>
  <si>
    <t>https://www.digikey.com/en/products/detail/e-switch/SS0750300F070P1A/3778167?s=N4IgTCBcDaIMpwAwHYCsiDMjEDEWIAUBGAQQFoA5AERAF0BfIA</t>
  </si>
  <si>
    <t>https://www.amazon.com/dp/B07W5C4P6Z?_encoding=UTF8&amp;psc=1&amp;ref=cm_sw_r_cp_ud_dp_44J9H62NDZKS80N2Q7A5_1&amp;ref_=cm_sw_r_cp_ud_dp_44J9H62NDZKS80N2Q7A5_1&amp;social_share=cm_sw_r_cp_ud_dp_44J9H62NDZKS80N2Q7A5_1&amp;skipTwisterOG=2</t>
  </si>
  <si>
    <t>https://www.amazon.com/dp/B08435GF42?_encoding=UTF8&amp;psc=1&amp;ref=cm_sw_r_cp_ud_dp_0BFNGWC0VJ2GSP0TTS8Z_1&amp;ref_=cm_sw_r_cp_ud_dp_0BFNGWC0VJ2GSP0TTS8Z_1&amp;social_share=cm_sw_r_cp_ud_dp_0BFNGWC0VJ2GSP0TTS8Z_1&amp;skipTwisterOG=2</t>
  </si>
  <si>
    <t>https://www.amazon.com/dp/B076ZDXK1W?ref=cm_sw_r_cp_ud_dp_X39SRCM1HY7SH1JTPRAN_1&amp;ref_=cm_sw_r_cp_ud_dp_X39SRCM1HY7SH1JTPRAN_1&amp;social_share=cm_sw_r_cp_ud_dp_X39SRCM1HY7SH1JTPRAN_1&amp;skipTwisterOG=2</t>
  </si>
  <si>
    <t>https://www.filastruder.com/products/heat-set-insert-tool-kit?variant=40437399519303</t>
  </si>
  <si>
    <t>https://www.filastruder.com/products/tool-balls-for-jubilee-3-pack?_pos=1&amp;_sid=67e00ff4a&amp;_ss=r</t>
  </si>
  <si>
    <t>https://www.filastruder.com/products/wedge-plate-for-jubilee?_pos=2&amp;_sid=67e00ff4a&amp;_ss=r</t>
  </si>
  <si>
    <t>https://www.amazon.com/dp/B0BZ12PGRT?ref=cm_sw_r_cp_ud_dp_6NXK2393RQ05JQ2CP00K&amp;ref_=cm_sw_r_cp_ud_dp_6NXK2393RQ05JQ2CP00K&amp;social_share=cm_sw_r_cp_ud_dp_6NXK2393RQ05JQ2CP00K&amp;skipTwisterOG=2&amp;th=1</t>
  </si>
  <si>
    <t>https://www.filastruder.com/collections/jubilee/products/jubilee-aluminum-z-yokes-by-mandala-rose-works</t>
  </si>
  <si>
    <t>https://vilros.com/products/raspberry-pi-5?variant=40082990399582</t>
  </si>
  <si>
    <t>https://www.amazon.com/dp/B00DR9J5E8?ref=cm_sw_r_cp_ud_dp_3TR0SW9X3H6TC1CTDK38&amp;ref_=cm_sw_r_cp_ud_dp_3TR0SW9X3H6TC1CTDK38&amp;social_share=cm_sw_r_cp_ud_dp_3TR0SW9X3H6TC1CTDK38&amp;skipTwisterOG=2</t>
  </si>
  <si>
    <t>https://www.amazon.com/dp/B00K2NTSJE?ref=cm_sw_r_cp_ud_dp_D9D9Y3X66C4ZCRA7WHK0&amp;ref_=cm_sw_r_cp_ud_dp_D9D9Y3X66C4ZCRA7WHK0&amp;social_share=cm_sw_r_cp_ud_dp_D9D9Y3X66C4ZCRA7WHK0&amp;skipTwisterOG=2</t>
  </si>
  <si>
    <t>https://www.amazon.com/dp/B07JPZ9YCF?ref=cm_sw_r_cp_ud_dp_TJQE63TR1PKG7QDN64HB&amp;ref_=cm_sw_r_cp_ud_dp_TJQE63TR1PKG7QDN64HB&amp;social_share=cm_sw_r_cp_ud_dp_TJQE63TR1PKG7QDN64HB&amp;skipTwisterOG=2&amp;th=1</t>
  </si>
  <si>
    <t>https://www.amazon.com/dp/B08R93QQ8Z?_encoding=UTF8&amp;ref=cm_sw_r_cp_ud_dp_YCRTYHC5VQ99JK1WR52V&amp;ref_=cm_sw_r_cp_ud_dp_YCRTYHC5VQ99JK1WR52V&amp;social_share=cm_sw_r_cp_ud_dp_YCRTYHC5VQ99JK1WR52V&amp;skipTwisterOG=2&amp;th=1</t>
  </si>
  <si>
    <t>Ocean-HDX UV to NIR Optimized Spectrometer</t>
  </si>
  <si>
    <t>https://www.oceanoptics.com/spectrometer/ocean-hdx/</t>
  </si>
  <si>
    <t>https://www.oceanoptics.com/accessories/light-sources/light-sources-product-insight/</t>
  </si>
  <si>
    <t>https://www.oceanoptics.com/accessories/fibers-and-probes/transmission-dip-probes/</t>
  </si>
  <si>
    <t>https://www.amazon.com/dp/B07FGFPKNS/ref=sspa_dk_detail_4?psc=1&amp;pd_rd_i=B07FGFPKNS&amp;pd_rd_w=p6xxg&amp;content-id=amzn1.sym.f2f1cf8f-cab4-44dc-82ba-0ca811fb90cc&amp;pf_rd_p=f2f1cf8f-cab4-44dc-82ba-0ca811fb90cc&amp;pf_rd_r=SVJV656ZF3BA348K1CAT&amp;pd_rd_wg=C2ZVI&amp;pd_rd_r=5a010de6-86f0-4b3d-97a4-823fbdcdfa9c&amp;s=hi&amp;sp_csd=d2lkZ2V0TmFtZT1zcF9kZXRhaWxfdGhlbWF0aWM</t>
  </si>
  <si>
    <t>Hose Balbs 3/16" to 1/8"</t>
  </si>
  <si>
    <t>https://www.amazon.com/Boeray-5pcs-Brass-Fitting-Adapter/dp/B07DVFG5V5/ref=sr_1_4?crid=20F4X1PE8WA67&amp;dib=eyJ2IjoiMSJ9.37Wa-JYBhw7D1joL4JL3IzIhr7k8C0nEdqLoMMjxRyHVfmcvx-FBLASVqPJG2nRPoceQokHs0QzLW-4pi3LB5QxujLsG6b2Aob3amBDfaWPyd4Rog5sb32drFdYs0hUn-7l5vvsf1SVh7Qx--DssmW3liIymMf26j3LYoXetEs6emCjDhWVHe_3CHUJWwnRWpRVWjEzjOmvmH4z7qaAjYkiU71HrjvgWjnhENqsPH3s.svNwky4gI_U_7_9u-hjEAwQznBF9O-17lX-6JEAKB9U&amp;dib_tag=se&amp;keywords=vacuum%2Bhose%2B1%2F8%2Bto%2B3%2F16&amp;qid=1745192321&amp;sprefix=vacuum%2Bhose%2B1%2F8%2Bto%2B3%2F16%2B%2Caps%2C162&amp;sr=8-4&amp;th=1</t>
  </si>
  <si>
    <t>https://www.amazon.com/dp/B0BRKHGQQ5/ref=sspa_dk_detail_0?pd_rd_i=B0BRKHGQQ5&amp;pd_rd_w=HFQjA&amp;content-id=amzn1.sym.8c2f9165-8e93-42a1-8313-73d3809141a2&amp;pf_rd_p=8c2f9165-8e93-42a1-8313-73d3809141a2&amp;pf_rd_r=JHHK1HZ6V6DH5YCZ5GQ4&amp;pd_rd_wg=0Pmxt&amp;pd_rd_r=6e16c162-c67c-4d30-af9d-bf31b6acbc09&amp;s=industrial&amp;sp_csd=d2lkZ2V0TmFtZT1zcF9kZXRhaWw&amp;th=1</t>
  </si>
  <si>
    <t>Vacuum Suction Cup</t>
  </si>
  <si>
    <t>https://www.fishersci.com/shop/products/sterile-syringes-48/14817178</t>
  </si>
  <si>
    <t>Air-Tite™ Sterile Syringes 10 mL, Luer Lock (pack of 100)</t>
  </si>
  <si>
    <t>https://www.fishersci.com/shop/products/bd-general-use-precisionglide-hypodermic-needles-20/148266C</t>
  </si>
  <si>
    <t>Tr8x2 Lead Screw with T8 Brass Nut</t>
  </si>
  <si>
    <t>https://www.amazon.com/150mm%EF%BC%885-9-Inches%EF%BC%89Tr8x2-Thread-Printer-Machine/dp/B0B8RGRYNW/ref=sr_1_2?crid=34CHWN6YHLSBH&amp;dib=eyJ2IjoiMSJ9.NOXkkOYI_8yEDDdQ4KmFjBWnvBEwRLslsTZclAvBnbKaiP2ROYK-XkBxI47oOdWLEvJvdM4J3bWyTQMJkjMjntBE1pR0Zyw2XGt5nnE5Q59Gcs1VH2Abr81R_vJ_rXRqlCnX9r0j7KDC63-jYpDcHz4seCvdsDS92fN6yw3g_4FpdkPNOWj05JNLv1yIsrhL2xYuFC-6scky-ehrn_l4q-vEYha_uyIlrEHr8VDER5x-JT-kjHhu8TRARJe0AEw0YbWsha3ENn1oudulv1FLrSsFdgj0FwQRznHzxIfamdFfwE6yEIGSvdAEijhWt-773u9Q35G3WBpddpN13HtrHte6qNOluAEsTlhlPFFiQDE.rUOPRA7qoQqyF5NHwcaS4GN-fpcUgYc4ek63YOzWS5I&amp;dib_tag=se&amp;keywords=t8x2%2Bleadscrew%2B150mm&amp;qid=1741738858&amp;s=industrial&amp;sprefix=t8x2%2Bleadscrew150mm%2Cindustrial%2C116&amp;sr=1-2&amp;th=1</t>
  </si>
  <si>
    <t>Wedge Plate for Jubilee</t>
  </si>
  <si>
    <t>GT Timing Belt Pulley</t>
  </si>
  <si>
    <t>https://www.amazon.com/gp/product/B07K6BRL4K?th=1</t>
  </si>
  <si>
    <t>https://www.amazon.com/gp/product/B08HYFM5BP</t>
  </si>
  <si>
    <t>200mm MGN9 Linear Sliding Rail Guide</t>
  </si>
  <si>
    <t xml:space="preserve">360 Pcs Allen Head Screws </t>
  </si>
  <si>
    <t>https://www.amazon.com/360-Pcs-Allen-Head-Screws/dp/B0D9DCKCNM/ref=sr_1_4?crid=2XRO4B14FYOIA&amp;dib=eyJ2IjoiMSJ9.S_RfjA6HUrIKhOFxM7F7uSQcNkiYsJf3bCXUJq6qwELsDcIBRfqm6bD98WnnGYrD9ksxZ0W270WFvjoW8H92Rf7fN4bRqphpw51vmK8VbMLXL9cB--VydEruN_l2Sf8dWD55z4tAcizWqLGfItFr-UJeEvOuDofl5XUG6K5Y-DROi2WDrUNxlYEaOczfRBMkJ9cNm9YQtfZcr9tk3TMV-dEOrGl0aDbo7DsjVLc5IXQ.wI2Ca6qfSEUkvolOjq5u01abdMK0SakDpt8EiQB5kQg&amp;dib_tag=se&amp;keywords=m3%2Bm2.5%2Bm2%2Bset%2Bscrews&amp;qid=1749670854&amp;sprefix=m3%2Bm2.5%2Bm2%2Bset%2Bscrew%2Caps%2C159&amp;sr=8-4&amp;th=1</t>
  </si>
  <si>
    <t>1/8" Silicone Hose 10feet</t>
  </si>
  <si>
    <t>https://www.amazon.com/Silicon-CellarBrew-Silicone-Brewing-Winemaking/dp/B08RYFKD53?pd_rd_w=ar5QS&amp;content-id=amzn1.sym.ea1d9533-fbb7-4608-bb6f-bfdceb6f6336&amp;pf_rd_p=ea1d9533-fbb7-4608-bb6f-bfdceb6f6336&amp;pf_rd_r=8MDS0NGF34CWQ783ZKSF&amp;pd_rd_wg=q9QsH&amp;pd_rd_r=d6e5686f-26d8-446e-99c9-adfcd3deaecb&amp;ref_=sspa_dk_detail_2&amp;sp_csd=d2lkZ2V0TmFtZT1zcF9kZXRhaWxfdGhlbWF0aWM&amp;th=1</t>
  </si>
  <si>
    <t>1/8" Hose Barb Fitting Equal Barbed Y Shaped</t>
  </si>
  <si>
    <t>https://www.amazon.com/ANPTGHT-Fitting-plastic-Splicer-Household/dp/B08S6T79JD/ref=sr_1_1_sspa?crid=ADWDKITKWDUE&amp;dib=eyJ2IjoiMSJ9.r3JTn34OUFsmovYQgeIXmCSYG-NukeM3zOoviaz7Ejcblt7nDV77REg2xCt_btet2k4TdCa4du8TCjkpD64vsKwToml4fA3MFl24_66J39QapXD4XaeigJShzHosVlFguTICCU1-7RPdRiJezb4Y3Aon3uCTlvLFSNwOFxnRuRARl4zAk_UWXHGAz43IJevxGGju9EvEnbBiGRtmkjjYVJ1-678Myp2C0BnzluXDjxU.jVd0WQvbz5dSiraQytIPIOnPu7s-bLxDO5sc-tATdUc&amp;dib_tag=se&amp;keywords=silicone%2Bhose%2Bt-joint&amp;qid=1746230683&amp;sprefix=silicone%2Bhose%2Bt-joint%2Caps%2C137&amp;sr=8-1-spons&amp;sp_csd=d2lkZ2V0TmFtZT1zcF9hdGY&amp;th=1</t>
  </si>
  <si>
    <t>https://www.amazon.com/Shaft-Collar-Aluminum-Thickness-Screws/dp/B0BNZ937MV/ref=sr_1_2_sspa?crid=16WU9OO4BEI3X&amp;dib=eyJ2IjoiMSJ9.BGJaFDPaBWdW9TI9SqbWf0o6M9aPd_MunvD_OAW6FTE52LsP1hfld-pvLxtCrxOaotxcdmoC66uOJ5_gMjx_tQlUwxWwpcFu6f35yoMxuw9iER3Rockn-fIukqYpP1Qbv-Url9JbS_zbtbI_rbzSJsMPsxBKNDsY9Brpp6jiUBQgK31cXNVVb6ms9Xf3t8Q8t3qqeb2AU7KljHeXj2Q3rWlHrgM_sSeli-gMBnbN27Y93i-9Yys58TBTk1YMpNBkLonv_oGX9ypbnIDnTYiDWmyhQuRsVSQkG--s5m-fWp0.SyT7F_sF89DxjwOc4iTXap8M9K5C8n7CQ_gxodjLYR4&amp;dib_tag=se&amp;keywords=8mm%2Bnonmarring%2Bclamp%2Bcollar&amp;qid=1741738750&amp;s=industrial&amp;sprefix=8mm%2Bnonmarring%2Bclamp%2Bcolla%2Cindustrial%2C115&amp;sr=1-2-spons&amp;sp_csd=d2lkZ2V0TmFtZT1zcF9hdGY&amp;th=1</t>
  </si>
  <si>
    <t>https://www.amazon.com/HiPicco-Bearings-F8-16M-Miniature-Direction/dp/B0BXY9VF8X/ref=sr_1_4_sspa?crid=3MHOZ0GLNWD4A&amp;keywords=3-piece%2Bthrust%2Bbearing%2B8mm%2Bbore&amp;qid=1741739394&amp;s=industrial&amp;sprefix=3-piece%2Bthrust%2Bbearing%2B8mm%2Bbo%2Cindustrial%2C156&amp;sr=1-4-spons&amp;sp_csd=d2lkZ2V0TmFtZT1zcF9tdGY&amp;th=1</t>
  </si>
  <si>
    <t>LDO Slim Power Extruder Stepper Pancake Motor</t>
  </si>
  <si>
    <t>https://kb-3d.com/store/stepper-motors-servos/66-ldo-slim-power-extruder-stepper-pancake-motor-42sth25-1404mac-1644693835267.html</t>
  </si>
  <si>
    <t>Socket Head Cap Bolts Screws and Nuts Kit</t>
  </si>
  <si>
    <t>https://www.amazon.com/DYWISHKEY-Pieces-Stainless-Socket-Screws/dp/B07VPGQ1RZ/ref=sr_1_29?crid=SRMMGC92T8XZ&amp;dib=eyJ2IjoiMSJ9.IJJDbxRB-Hm1fdZCPfUnILuDSjUuwsBHueVpIXjDOKFX3LL_NAIkbvfYMsjotzVxkDCSKZxLvV4vXAAj6pfcN9lGsdNT8TxWnaDKNc8rNUyoUj5bwP5iCeAxvlQzb-xBBj8lTQkoiVrxG5q8etgHhxLcSbQPF1bpFABNWqbhj12lNCr1kjylzQ3q4ACHlZmZ3Mdtatu1wl5M7gnnqb_jBPYG4NWHaPWe6ahkXEhCdxGkKD9SSkV_DAjb8qpzsj37Fx0Vhd5MZxQyliIYeIMu0J-6JdFc0B0El9KcJnrLwIQZn9URSJ6P6iHJ0n2NCaM9CjIjuDZxewsFIRbRLW-wWGzq3peuGNI0pKZqWQ-bL08.TTGZV-x1nUolwWvTDxdsAQVVIINkc19zXvmDB2hyDEA&amp;dib_tag=se&amp;keywords=M3%2Bsocket%2Bscrew%2B40mm&amp;qid=1741741587&amp;s=industrial&amp;sprefix=m3%2Bsocke%2Bscrew%2B40mm%2Cindustrial%2C122&amp;sr=1-29&amp;th=1</t>
  </si>
  <si>
    <t>https://www.amazon.com/Easycargo-40x40x11mm-Conductive-Thermoelectric-40mmx40mmx11mm/dp/B07D4FVC61/ref=sr_1_1_sspa?crid=VNJQRRCW0OXA&amp;dib=eyJ2IjoiMSJ9.7f4933G0XXTbTpfGo8YrK1CsyC-LlAR-KtR46Mmo1OhfTMiKAwpxdUTReGIkuhgN19JT8hHRqjDkRYwHNkNrqGx_GJ_zDSSZmw2urH8aeUdyu6yy8R3pMJwTuUuvdf8carHQq5IhP9GFAHo00T6ufgUbjrNrYDWsCz_kUrhWtwQm8cAjKPdR9hXbNxyDSgmdM6mUbShqEN2ZocG7ED9wV9FrFn3Tv3gxZI61kwfwfvE.MYWNeUX4SSLYJcri8-MmK-7dHfI2Ri1uLrpl79RWdZc&amp;dib_tag=se&amp;keywords=nema%2B17%2Bheatsink&amp;qid=1741741017&amp;sprefix=nema%2B17%2Bheat%2Caps%2C164&amp;sr=8-1-spons&amp;sp_csd=d2lkZ2V0TmFtZT1zcF9hdGY&amp;th=1</t>
  </si>
  <si>
    <t>https://www.amazon.com/MCMASKE-Plastic-Unthreaded-Assortment-Clearance/dp/B0B7P1JWGT/ref=sr_1_2_sspa?crid=2RVDSLKUA9W7J&amp;dib=eyJ2IjoiMSJ9.STK4iH80ZX12YLPZKT11tDXSHBp6-ihFLAoAGwUIPh4Mzv-Du-ZL6GOKFJUew81QPaFLZMAUAe3ep2rFNEktDbO2FTnlMZpo7Z0dCZ1XvgIPhJLGT_BfRnkPIycfbJ6xw69WFCToNSMNaqk9wnjJIk3PbVwVN95xWQwdp6KNEDy9sHjyxNrB7dZPqIKIgPEU9FmhEZeuHLGWy9EOP6yinROKkVmZJHxHU-OhmgFb0uuv7a-m5TaGQ-XLtuufALV7o7Mf5JlR76Ys3EJePCUf8pZ1d8KrXsWn9lLLNxzGBbs.s8m_PRRzhAH5gZZbJU2oVMSQIpKSEKtfsFl0PeDDLcI&amp;dib_tag=se&amp;keywords=M3%2Bspacer%2B18mm&amp;qid=1741741664&amp;s=industrial&amp;sprefix=m3%2Bspacer%2B18mm%2Cindustrial%2C133&amp;sr=1-2-spons&amp;sp_csd=d2lkZ2V0TmFtZT1zcF9hdGY&amp;th=1</t>
  </si>
  <si>
    <t>M3 spacer (OD 7mm ID 3.2mm)</t>
  </si>
  <si>
    <t>https://www.amazon.com/WINSINN-Aluminum-Synchronous-Timing-Printer/dp/B077GMR328/ref=sr_1_1?crid=3CIVOMCRWWVIT&amp;dib=eyJ2IjoiMSJ9.Ie64ylzFH-GcHlUeb3P0-lpm4Tv9PTrdh1MFP9-IGbvB88OB88z0gAbNKxtuJ6vropJJUN4Etgu3uRGHIpfhcNKPlF1H_9SR5GFWlovZsAmlc3H7umsPuNqogNojgcyQPSgRu385lnS13LMyZ_zjXOIE2ndrHH0q9HaGuZaGz27DnWSIcLujwXQTGZM-1hIx1Fuy7Mm3l8thRj2df8K6Uf74UQz9q91mvVBcWlt-W04.mNzEj59sDThHehmRwgBQpiEfUhP8mkJYyHhbTcOycOA&amp;dib_tag=se&amp;keywords=16-t+2gt+drive+pulley+with+6mm+belt+for+nema+17&amp;qid=1741741985&amp;sprefix=16-t+2gt+drive+pulley+wit+6mm+belt+for+nema+17%2Caps%2C115&amp;sr=8-1</t>
  </si>
  <si>
    <t>https://www.amazon.com/PAGOW-Printer-Timing-Closed-Rubber/dp/B088M3V865/ref=sxin_16_pa_sp_search_thematic_sspa?content-id=amzn1.sym.95e4d6bd-d93f-4ee1-9766-ff64f54d2f71%3Aamzn1.sym.95e4d6bd-d93f-4ee1-9766-ff64f54d2f71&amp;crid=2ZCSEGGTIQF6E&amp;cv_ct_cx=110T%2B2GT%2Btiming%2Bbelt%2B6mm&amp;keywords=110T%2B2GT%2Btiming%2Bbelt%2B6mm&amp;pd_rd_i=B088M3V865&amp;pd_rd_r=8d7e534a-65c6-4860-bed9-3104e49c4a94&amp;pd_rd_w=oLtRa&amp;pd_rd_wg=aneGK&amp;pf_rd_p=95e4d6bd-d93f-4ee1-9766-ff64f54d2f71&amp;pf_rd_r=FA4CMZ8MVH5NTQ35YXE1&amp;qid=1741742134&amp;sbo=RZvfv%2F%2FHxDF%2BO5021pAnSA%3D%3D&amp;sprefix=110t%2B2gt%2Btiming%2Bbelt%2B6mm%2Caps%2C141&amp;sr=1-1-6024b2a3-78e4-4fed-8fed-e1613be3bcce-spons&amp;sp_csd=d2lkZ2V0TmFtZT1zcF9zZWFyY2hfdGhlbWF0aWM&amp;th=1</t>
  </si>
  <si>
    <t>https://a.co/d/4UQ8Md9</t>
  </si>
  <si>
    <t>https://www.amazon.com/uxcell-Timing-Closed-110-2GT-6-Printer/dp/B0CN9H34K9/ref=sr_1_3?crid=3VQ2CI7QFMN3E&amp;dib=eyJ2IjoiMSJ9.mVRYxIgoQTLQQOMve-Xi-RwwPChtFXHtoFQewhbSNV-dTuDKvlaxwxepuJbE4i8YrsB0ypdzXvT7MLM0lsAbrum0L7v1c_Z0ndOtGL-ntPJ6kqL1tb_ZkQamvj7ldtMaoawWkyRc8h71_9twBO3anKWnl7RBMg-IfI4CMp1KqUzcagokxEhv1OfYVmOL1uMNSmLQKktSuo0kYyRVkPHWFV8qk9Eb5-AMlNsrAAIUyh4.aP8rY7CIlViURbE1yEjnW3jjo9xmFCmzKP2E_gR55Pk&amp;dib_tag=se&amp;keywords=110t%2B2gt%2Bbelt&amp;qid=1744147334&amp;sprefix=110t%2B2gt%2Bbelt%2Caps%2C170&amp;sr=8-3&amp;th=1</t>
  </si>
  <si>
    <t>https://www.amazon.com/Printer-Stepper-Motor-Connector-HX2-54/dp/B0CRDXNWMZ/ref=sr_1_7_sspa?crid=1VZQZRQVKYYSS&amp;dib=eyJ2IjoiMSJ9.JFTawpnoY5ja_ih4EJA2vY55LM6tBG49VDPtbJVFbP5PyZAWtx4c2YKgPX7Z3JT3_WrDKhSZCgDVMvQZgEz_VLhpzq_GI0nMNRxjmz15sjj5Sg1ENGuyHXmIES3zpsDf4oWNkL2gYiXfXF_kjYGOk88w5AqOrivhp60CgsGeeJxlv3cDOr7iIg9WI_k5SIPOiecL1xya9R9Z6rdOGWHHHjm-TX9wyr8BuOb0bV7_ZjE.UBrIsvxblfH0jMjh-ewurX9LYP3wVmyuEtxs_b2mtw4&amp;dib_tag=se&amp;keywords=LDO%2Bmotor%2Bwire%2Bextenders&amp;qid=1745193138&amp;sprefix=ldo%2Bmotor%2Bwire%2Bextender%2Caps%2C154&amp;sr=8-7-spons&amp;sp_csd=d2lkZ2V0TmFtZT1zcF9tdGY&amp;th=1</t>
  </si>
  <si>
    <t>Unit price</t>
  </si>
  <si>
    <t>Fisherbrand Glass Shell Vials, 11 mL, pack of 144</t>
  </si>
  <si>
    <t xml:space="preserve">Tungsten Halogen Light Source HL-2000-LL </t>
  </si>
  <si>
    <t>BD Hypodermic Needles 23 G, 1.5 in., 0.025 in., Thin (pack of 100)</t>
  </si>
  <si>
    <t>Category</t>
  </si>
  <si>
    <t>Cost (USD)</t>
  </si>
  <si>
    <t>Vacuum gripper</t>
  </si>
  <si>
    <t xml:space="preserve">Single syringe </t>
  </si>
  <si>
    <t>Dual syringe</t>
  </si>
  <si>
    <t>Spectrometer</t>
  </si>
  <si>
    <t>Synthesis</t>
  </si>
  <si>
    <t>Characterization</t>
  </si>
  <si>
    <t xml:space="preserve">Stepper Motor Heatsink </t>
  </si>
  <si>
    <t>110t 2gt Belt</t>
  </si>
  <si>
    <t>8mm Nonmarring Clamp Collar</t>
  </si>
  <si>
    <t xml:space="preserve">Thrust Bearing 8mm Bore </t>
  </si>
  <si>
    <t>16-T 2GT Drive Pulley for 6mm Belt</t>
  </si>
  <si>
    <t>110T, 2GT Timing Belt 6mm Tall</t>
  </si>
  <si>
    <t>2GT 40T Pulley 8B</t>
  </si>
  <si>
    <t xml:space="preserve">Wire Extender 4pin for LDO Motors </t>
  </si>
  <si>
    <t>Vacuum 12V DC Pump</t>
  </si>
  <si>
    <t>300-micron Transmission Dip Probe, UV, PEEK Sleeve</t>
  </si>
  <si>
    <t>Adjustable Path (2-10 mm) PEEK Tip for TP300-UV/VIS</t>
  </si>
  <si>
    <t>Bottle, Specimen 2 Oz Glass 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</si>
</sst>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#,##0.00\ [$CAD]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20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u/>
      <sz val="12"/>
      <color theme="10"/>
      <name val="Times New Roman"/>
      <family val="1"/>
    </font>
    <font>
      <sz val="12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4" fillId="0" borderId="0" xfId="2" applyFont="1"/>
    <xf numFmtId="0" fontId="5" fillId="0" borderId="0" xfId="2" applyFont="1"/>
    <xf numFmtId="0" fontId="6" fillId="0" borderId="0" xfId="0" applyFont="1"/>
    <xf numFmtId="0" fontId="7" fillId="2" borderId="0" xfId="2" applyFont="1" applyFill="1"/>
    <xf numFmtId="164" fontId="7" fillId="2" borderId="0" xfId="2" applyNumberFormat="1" applyFont="1" applyFill="1"/>
    <xf numFmtId="0" fontId="7" fillId="0" borderId="0" xfId="2" applyFont="1"/>
    <xf numFmtId="164" fontId="7" fillId="0" borderId="0" xfId="2" applyNumberFormat="1" applyFont="1"/>
    <xf numFmtId="44" fontId="5" fillId="0" borderId="0" xfId="1" applyFont="1"/>
    <xf numFmtId="0" fontId="8" fillId="0" borderId="0" xfId="3" applyFont="1"/>
    <xf numFmtId="0" fontId="7" fillId="0" borderId="1" xfId="2" applyFont="1" applyBorder="1"/>
    <xf numFmtId="164" fontId="7" fillId="0" borderId="1" xfId="2" applyNumberFormat="1" applyFont="1" applyBorder="1"/>
    <xf numFmtId="44" fontId="7" fillId="0" borderId="1" xfId="1" applyFont="1" applyBorder="1"/>
    <xf numFmtId="0" fontId="9" fillId="0" borderId="0" xfId="3" applyFont="1"/>
    <xf numFmtId="0" fontId="10" fillId="0" borderId="1" xfId="2" applyFont="1" applyBorder="1"/>
    <xf numFmtId="164" fontId="10" fillId="0" borderId="1" xfId="2" applyNumberFormat="1" applyFont="1" applyBorder="1"/>
    <xf numFmtId="44" fontId="10" fillId="0" borderId="1" xfId="1" applyFont="1" applyBorder="1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right" vertical="top" wrapText="1"/>
    </xf>
    <xf numFmtId="0" fontId="11" fillId="0" borderId="0" xfId="0" applyFont="1" applyAlignment="1">
      <alignment horizontal="left" vertical="top" wrapText="1"/>
    </xf>
    <xf numFmtId="3" fontId="11" fillId="0" borderId="0" xfId="0" applyNumberFormat="1" applyFont="1" applyAlignment="1">
      <alignment horizontal="right" vertical="center" wrapText="1"/>
    </xf>
    <xf numFmtId="0" fontId="12" fillId="0" borderId="2" xfId="0" applyFont="1" applyBorder="1" applyAlignment="1">
      <alignment horizontal="right" vertical="center" wrapText="1"/>
    </xf>
    <xf numFmtId="3" fontId="13" fillId="0" borderId="2" xfId="0" applyNumberFormat="1" applyFont="1" applyBorder="1" applyAlignment="1">
      <alignment horizontal="right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vertical="center" wrapText="1"/>
    </xf>
    <xf numFmtId="0" fontId="13" fillId="0" borderId="2" xfId="0" applyFont="1" applyBorder="1" applyAlignment="1">
      <alignment horizontal="right" vertical="center" wrapText="1"/>
    </xf>
    <xf numFmtId="3" fontId="12" fillId="0" borderId="2" xfId="0" applyNumberFormat="1" applyFont="1" applyBorder="1" applyAlignment="1">
      <alignment horizontal="right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44" fontId="7" fillId="0" borderId="0" xfId="1" applyFont="1" applyBorder="1"/>
  </cellXfs>
  <cellStyles count="4">
    <cellStyle name="Currency" xfId="1" builtinId="4"/>
    <cellStyle name="Hyperlink" xfId="3" builtinId="8"/>
    <cellStyle name="Normal" xfId="0" builtinId="0"/>
    <cellStyle name="Normal 2" xfId="2" xr:uid="{E95166F5-790E-4D03-9BFB-EB209A0CFA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Silicon-CellarBrew-Silicone-Brewing-Winemaking/dp/B08RYFKD53?pd_rd_w=ar5QS&amp;content-id=amzn1.sym.ea1d9533-fbb7-4608-bb6f-bfdceb6f6336&amp;pf_rd_p=ea1d9533-fbb7-4608-bb6f-bfdceb6f6336&amp;pf_rd_r=8MDS0NGF34CWQ783ZKSF&amp;pd_rd_wg=q9QsH&amp;pd_rd_r=d6e5686f-26d8-446e-99c9-adfcd3deaecb&amp;ref_=sspa_dk_detail_2&amp;sp_csd=d2lkZ2V0TmFtZT1zcF9kZXRhaWxfdGhlbWF0aWM&amp;th=1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amazon.com/dp/B076ZDXK1W?ref=cm_sw_r_cp_ud_dp_X39SRCM1HY7SH1JTPRAN_1&amp;ref_=cm_sw_r_cp_ud_dp_X39SRCM1HY7SH1JTPRAN_1&amp;social_share=cm_sw_r_cp_ud_dp_X39SRCM1HY7SH1JTPRAN_1&amp;skipTwisterOG=2" TargetMode="External"/><Relationship Id="rId1" Type="http://schemas.openxmlformats.org/officeDocument/2006/relationships/hyperlink" Target="https://www.amazon.com/dp/B0BRKHGQQ5/ref=sspa_dk_detail_0?pd_rd_i=B0BRKHGQQ5&amp;pd_rd_w=HFQjA&amp;content-id=amzn1.sym.8c2f9165-8e93-42a1-8313-73d3809141a2&amp;pf_rd_p=8c2f9165-8e93-42a1-8313-73d3809141a2&amp;pf_rd_r=JHHK1HZ6V6DH5YCZ5GQ4&amp;pd_rd_wg=0Pmxt&amp;pd_rd_r=6e16c162-c67c-4d30-af9d-bf31b6acbc09&amp;s=industrial&amp;sp_csd=d2lkZ2V0TmFtZT1zcF9kZXRhaWw&amp;th=1" TargetMode="External"/><Relationship Id="rId6" Type="http://schemas.openxmlformats.org/officeDocument/2006/relationships/hyperlink" Target="https://kb-3d.com/store/stepper-motors-servos/66-ldo-slim-power-extruder-stepper-pancake-motor-42sth25-1404mac-1644693835267.html" TargetMode="External"/><Relationship Id="rId5" Type="http://schemas.openxmlformats.org/officeDocument/2006/relationships/hyperlink" Target="https://www.amazon.com/HiPicco-Bearings-F8-16M-Miniature-Direction/dp/B0BXY9VF8X/ref=sr_1_4_sspa?crid=3MHOZ0GLNWD4A&amp;keywords=3-piece%2Bthrust%2Bbearing%2B8mm%2Bbore&amp;qid=1741739394&amp;s=industrial&amp;sprefix=3-piece%2Bthrust%2Bbearing%2B8mm%2Bbo%2Cindustrial%2C156&amp;sr=1-4-spons&amp;sp_csd=d2lkZ2V0TmFtZT1zcF9tdGY&amp;th=1" TargetMode="External"/><Relationship Id="rId4" Type="http://schemas.openxmlformats.org/officeDocument/2006/relationships/hyperlink" Target="https://www.amazon.com/HiPicco-Bearings-F8-16M-Miniature-Direction/dp/B0BXY9VF8X/ref=sr_1_4_sspa?crid=3MHOZ0GLNWD4A&amp;keywords=3-piece%2Bthrust%2Bbearing%2B8mm%2Bbore&amp;qid=1741739394&amp;s=industrial&amp;sprefix=3-piece%2Bthrust%2Bbearing%2B8mm%2Bbo%2Cindustrial%2C156&amp;sr=1-4-spons&amp;sp_csd=d2lkZ2V0TmFtZT1zcF9tdGY&amp;th=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17F9D-5349-4739-B673-8A61AB4879C3}">
  <dimension ref="A1:F86"/>
  <sheetViews>
    <sheetView tabSelected="1" zoomScale="70" workbookViewId="0">
      <selection activeCell="B91" sqref="B91"/>
    </sheetView>
  </sheetViews>
  <sheetFormatPr defaultRowHeight="14.75" x14ac:dyDescent="0.75"/>
  <cols>
    <col min="1" max="1" width="26.40625" customWidth="1"/>
    <col min="2" max="2" width="62.1796875" bestFit="1" customWidth="1"/>
    <col min="3" max="3" width="11.1328125" bestFit="1" customWidth="1"/>
    <col min="4" max="4" width="9.1328125" bestFit="1" customWidth="1"/>
    <col min="5" max="5" width="12.26953125" bestFit="1" customWidth="1"/>
    <col min="6" max="6" width="28.40625" customWidth="1"/>
  </cols>
  <sheetData>
    <row r="1" spans="1:6" ht="25" x14ac:dyDescent="1">
      <c r="A1" s="1" t="s">
        <v>0</v>
      </c>
      <c r="B1" s="2"/>
      <c r="C1" s="3"/>
      <c r="D1" s="3"/>
      <c r="E1" s="3"/>
      <c r="F1" s="3"/>
    </row>
    <row r="2" spans="1:6" x14ac:dyDescent="0.75">
      <c r="A2" s="3"/>
      <c r="B2" s="3"/>
      <c r="C2" s="3"/>
      <c r="D2" s="3"/>
      <c r="E2" s="3"/>
      <c r="F2" s="3"/>
    </row>
    <row r="3" spans="1:6" ht="15.75" x14ac:dyDescent="0.75">
      <c r="A3" s="4" t="s">
        <v>1</v>
      </c>
      <c r="B3" s="4" t="s">
        <v>14</v>
      </c>
      <c r="C3" s="5"/>
      <c r="D3" s="4"/>
      <c r="E3" s="5"/>
      <c r="F3" s="4"/>
    </row>
    <row r="4" spans="1:6" ht="15.75" x14ac:dyDescent="0.75">
      <c r="A4" s="2"/>
      <c r="B4" s="6" t="s">
        <v>2</v>
      </c>
      <c r="C4" s="7" t="s">
        <v>88</v>
      </c>
      <c r="D4" s="6" t="s">
        <v>4</v>
      </c>
      <c r="E4" s="7" t="s">
        <v>5</v>
      </c>
      <c r="F4" s="6" t="s">
        <v>3</v>
      </c>
    </row>
    <row r="5" spans="1:6" ht="15.75" x14ac:dyDescent="0.75">
      <c r="A5" s="3"/>
      <c r="B5" s="2" t="s">
        <v>19</v>
      </c>
      <c r="C5" s="8">
        <v>1799.99</v>
      </c>
      <c r="D5" s="2">
        <v>1</v>
      </c>
      <c r="E5" s="8">
        <f>C5*D5</f>
        <v>1799.99</v>
      </c>
      <c r="F5" s="2" t="s">
        <v>20</v>
      </c>
    </row>
    <row r="6" spans="1:6" ht="15.75" x14ac:dyDescent="0.75">
      <c r="A6" s="3"/>
      <c r="B6" s="2" t="s">
        <v>21</v>
      </c>
      <c r="C6" s="8">
        <v>1.1399999999999999</v>
      </c>
      <c r="D6" s="2">
        <v>5</v>
      </c>
      <c r="E6" s="8">
        <f t="shared" ref="E6:E22" si="0">C6*D6</f>
        <v>5.6999999999999993</v>
      </c>
      <c r="F6" s="9" t="s">
        <v>35</v>
      </c>
    </row>
    <row r="7" spans="1:6" ht="15.75" x14ac:dyDescent="0.75">
      <c r="A7" s="3"/>
      <c r="B7" s="2" t="s">
        <v>22</v>
      </c>
      <c r="C7" s="8">
        <v>6.9</v>
      </c>
      <c r="D7" s="2">
        <v>1</v>
      </c>
      <c r="E7" s="8">
        <f t="shared" si="0"/>
        <v>6.9</v>
      </c>
      <c r="F7" s="2" t="s">
        <v>36</v>
      </c>
    </row>
    <row r="8" spans="1:6" ht="15.75" x14ac:dyDescent="0.75">
      <c r="A8" s="3"/>
      <c r="B8" s="2" t="s">
        <v>23</v>
      </c>
      <c r="C8" s="8">
        <v>9.9700000000000006</v>
      </c>
      <c r="D8" s="2">
        <v>1</v>
      </c>
      <c r="E8" s="8">
        <f t="shared" si="0"/>
        <v>9.9700000000000006</v>
      </c>
      <c r="F8" s="9" t="s">
        <v>37</v>
      </c>
    </row>
    <row r="9" spans="1:6" ht="15.75" x14ac:dyDescent="0.75">
      <c r="A9" s="3"/>
      <c r="B9" s="2" t="s">
        <v>24</v>
      </c>
      <c r="C9" s="8">
        <v>11.91</v>
      </c>
      <c r="D9" s="2">
        <v>1</v>
      </c>
      <c r="E9" s="8">
        <f t="shared" si="0"/>
        <v>11.91</v>
      </c>
      <c r="F9" s="9" t="s">
        <v>38</v>
      </c>
    </row>
    <row r="10" spans="1:6" ht="15.75" x14ac:dyDescent="0.75">
      <c r="A10" s="3"/>
      <c r="B10" s="2" t="s">
        <v>25</v>
      </c>
      <c r="C10" s="8">
        <v>8.99</v>
      </c>
      <c r="D10" s="2">
        <v>1</v>
      </c>
      <c r="E10" s="8">
        <f t="shared" si="0"/>
        <v>8.99</v>
      </c>
      <c r="F10" s="9" t="s">
        <v>39</v>
      </c>
    </row>
    <row r="11" spans="1:6" ht="15.75" x14ac:dyDescent="0.75">
      <c r="A11" s="3"/>
      <c r="B11" s="2" t="s">
        <v>26</v>
      </c>
      <c r="C11" s="8">
        <v>2.99</v>
      </c>
      <c r="D11" s="2">
        <v>5</v>
      </c>
      <c r="E11" s="8">
        <f t="shared" si="0"/>
        <v>14.950000000000001</v>
      </c>
      <c r="F11" s="2" t="s">
        <v>40</v>
      </c>
    </row>
    <row r="12" spans="1:6" ht="15.75" x14ac:dyDescent="0.75">
      <c r="A12" s="3"/>
      <c r="B12" s="2" t="s">
        <v>27</v>
      </c>
      <c r="C12" s="8">
        <v>1.99</v>
      </c>
      <c r="D12" s="2">
        <v>5</v>
      </c>
      <c r="E12" s="8">
        <f t="shared" si="0"/>
        <v>9.9499999999999993</v>
      </c>
      <c r="F12" s="2" t="s">
        <v>41</v>
      </c>
    </row>
    <row r="13" spans="1:6" ht="15.75" x14ac:dyDescent="0.75">
      <c r="A13" s="3"/>
      <c r="B13" s="2" t="s">
        <v>28</v>
      </c>
      <c r="C13" s="8">
        <v>21.99</v>
      </c>
      <c r="D13" s="2">
        <v>1</v>
      </c>
      <c r="E13" s="8">
        <f t="shared" si="0"/>
        <v>21.99</v>
      </c>
      <c r="F13" s="2" t="s">
        <v>42</v>
      </c>
    </row>
    <row r="14" spans="1:6" ht="15.75" x14ac:dyDescent="0.75">
      <c r="A14" s="3"/>
      <c r="B14" s="2" t="s">
        <v>29</v>
      </c>
      <c r="C14" s="8">
        <v>89.99</v>
      </c>
      <c r="D14" s="2">
        <v>1</v>
      </c>
      <c r="E14" s="8">
        <f t="shared" si="0"/>
        <v>89.99</v>
      </c>
      <c r="F14" s="9" t="s">
        <v>43</v>
      </c>
    </row>
    <row r="15" spans="1:6" ht="15.75" x14ac:dyDescent="0.75">
      <c r="A15" s="3"/>
      <c r="B15" s="2" t="s">
        <v>30</v>
      </c>
      <c r="C15" s="8">
        <v>159.99</v>
      </c>
      <c r="D15" s="2">
        <v>1</v>
      </c>
      <c r="E15" s="8">
        <f t="shared" si="0"/>
        <v>159.99</v>
      </c>
      <c r="F15" s="9" t="s">
        <v>44</v>
      </c>
    </row>
    <row r="16" spans="1:6" ht="15.75" x14ac:dyDescent="0.75">
      <c r="A16" s="3"/>
      <c r="B16" s="2" t="s">
        <v>31</v>
      </c>
      <c r="C16" s="8">
        <v>13.55</v>
      </c>
      <c r="D16" s="2">
        <v>1</v>
      </c>
      <c r="E16" s="8">
        <f t="shared" si="0"/>
        <v>13.55</v>
      </c>
      <c r="F16" s="9" t="s">
        <v>45</v>
      </c>
    </row>
    <row r="17" spans="1:6" ht="15.75" x14ac:dyDescent="0.75">
      <c r="A17" s="3"/>
      <c r="B17" s="2" t="s">
        <v>32</v>
      </c>
      <c r="C17" s="8">
        <v>12.85</v>
      </c>
      <c r="D17" s="2">
        <v>1</v>
      </c>
      <c r="E17" s="8">
        <f t="shared" si="0"/>
        <v>12.85</v>
      </c>
      <c r="F17" s="9" t="s">
        <v>46</v>
      </c>
    </row>
    <row r="18" spans="1:6" ht="15.75" x14ac:dyDescent="0.75">
      <c r="A18" s="3"/>
      <c r="B18" s="2" t="s">
        <v>33</v>
      </c>
      <c r="C18" s="8">
        <v>9.99</v>
      </c>
      <c r="D18" s="2">
        <v>1</v>
      </c>
      <c r="E18" s="8">
        <f t="shared" si="0"/>
        <v>9.99</v>
      </c>
      <c r="F18" s="9" t="s">
        <v>47</v>
      </c>
    </row>
    <row r="19" spans="1:6" ht="15.75" x14ac:dyDescent="0.75">
      <c r="A19" s="2"/>
      <c r="B19" s="2" t="s">
        <v>34</v>
      </c>
      <c r="C19" s="8">
        <v>10.99</v>
      </c>
      <c r="D19" s="2">
        <v>1</v>
      </c>
      <c r="E19" s="8">
        <f t="shared" si="0"/>
        <v>10.99</v>
      </c>
      <c r="F19" s="2" t="s">
        <v>48</v>
      </c>
    </row>
    <row r="20" spans="1:6" ht="15.75" x14ac:dyDescent="0.75">
      <c r="A20" s="2"/>
      <c r="B20" s="2" t="s">
        <v>68</v>
      </c>
      <c r="C20" s="8">
        <v>7.58</v>
      </c>
      <c r="D20" s="2">
        <v>1</v>
      </c>
      <c r="E20" s="8">
        <f t="shared" si="0"/>
        <v>7.58</v>
      </c>
      <c r="F20" s="2" t="s">
        <v>69</v>
      </c>
    </row>
    <row r="21" spans="1:6" ht="15.75" x14ac:dyDescent="0.75">
      <c r="A21" s="2"/>
      <c r="B21" s="2" t="s">
        <v>78</v>
      </c>
      <c r="C21" s="8">
        <v>11.99</v>
      </c>
      <c r="D21" s="2">
        <v>1</v>
      </c>
      <c r="E21" s="8">
        <f t="shared" si="0"/>
        <v>11.99</v>
      </c>
      <c r="F21" s="2" t="s">
        <v>79</v>
      </c>
    </row>
    <row r="22" spans="1:6" ht="15.75" x14ac:dyDescent="0.75">
      <c r="A22" s="2"/>
      <c r="B22" s="2" t="s">
        <v>82</v>
      </c>
      <c r="C22" s="8">
        <v>9.99</v>
      </c>
      <c r="D22" s="2">
        <v>1</v>
      </c>
      <c r="E22" s="8">
        <f t="shared" si="0"/>
        <v>9.99</v>
      </c>
      <c r="F22" s="9" t="s">
        <v>81</v>
      </c>
    </row>
    <row r="23" spans="1:6" ht="15.75" x14ac:dyDescent="0.75">
      <c r="A23" s="2"/>
      <c r="B23" s="10" t="s">
        <v>5</v>
      </c>
      <c r="C23" s="11"/>
      <c r="D23" s="10"/>
      <c r="E23" s="12">
        <f>SUM(E5:E21)</f>
        <v>2207.2799999999997</v>
      </c>
      <c r="F23" s="10"/>
    </row>
    <row r="24" spans="1:6" ht="15.75" x14ac:dyDescent="0.75">
      <c r="A24" s="2"/>
      <c r="B24" s="2"/>
      <c r="C24" s="2"/>
      <c r="D24" s="2"/>
      <c r="E24" s="2"/>
      <c r="F24" s="2"/>
    </row>
    <row r="25" spans="1:6" ht="15.75" x14ac:dyDescent="0.75">
      <c r="A25" s="4" t="s">
        <v>1</v>
      </c>
      <c r="B25" s="4" t="s">
        <v>15</v>
      </c>
      <c r="C25" s="5"/>
      <c r="D25" s="4"/>
      <c r="E25" s="5"/>
      <c r="F25" s="4"/>
    </row>
    <row r="26" spans="1:6" ht="15.75" x14ac:dyDescent="0.75">
      <c r="A26" s="2"/>
      <c r="B26" s="6" t="s">
        <v>2</v>
      </c>
      <c r="C26" s="7" t="s">
        <v>88</v>
      </c>
      <c r="D26" s="6" t="s">
        <v>4</v>
      </c>
      <c r="E26" s="7" t="s">
        <v>5</v>
      </c>
      <c r="F26" s="6" t="s">
        <v>3</v>
      </c>
    </row>
    <row r="27" spans="1:6" ht="15.75" x14ac:dyDescent="0.75">
      <c r="A27" s="2"/>
      <c r="B27" s="2" t="s">
        <v>59</v>
      </c>
      <c r="C27" s="8">
        <v>29.7</v>
      </c>
      <c r="D27" s="2">
        <v>1</v>
      </c>
      <c r="E27" s="8">
        <f>C27*D27</f>
        <v>29.7</v>
      </c>
      <c r="F27" s="2" t="s">
        <v>58</v>
      </c>
    </row>
    <row r="28" spans="1:6" ht="15.75" x14ac:dyDescent="0.75">
      <c r="A28" s="2"/>
      <c r="B28" s="2" t="s">
        <v>91</v>
      </c>
      <c r="C28" s="8">
        <v>27.5</v>
      </c>
      <c r="D28" s="2">
        <v>1</v>
      </c>
      <c r="E28" s="8">
        <f t="shared" ref="E28:E37" si="1">C28*D28</f>
        <v>27.5</v>
      </c>
      <c r="F28" s="2" t="s">
        <v>60</v>
      </c>
    </row>
    <row r="29" spans="1:6" ht="15.75" x14ac:dyDescent="0.75">
      <c r="A29" s="2"/>
      <c r="B29" s="2" t="s">
        <v>61</v>
      </c>
      <c r="C29" s="8">
        <v>11.99</v>
      </c>
      <c r="D29" s="2">
        <v>1</v>
      </c>
      <c r="E29" s="8">
        <f t="shared" si="1"/>
        <v>11.99</v>
      </c>
      <c r="F29" s="2" t="s">
        <v>62</v>
      </c>
    </row>
    <row r="30" spans="1:6" ht="18.25" customHeight="1" x14ac:dyDescent="0.75">
      <c r="A30" s="2"/>
      <c r="B30" s="2" t="s">
        <v>63</v>
      </c>
      <c r="C30" s="8">
        <v>1.99</v>
      </c>
      <c r="D30" s="2">
        <v>1</v>
      </c>
      <c r="E30" s="8">
        <f t="shared" si="1"/>
        <v>1.99</v>
      </c>
      <c r="F30" s="2" t="s">
        <v>41</v>
      </c>
    </row>
    <row r="31" spans="1:6" ht="18.25" customHeight="1" x14ac:dyDescent="0.75">
      <c r="A31" s="2"/>
      <c r="B31" s="2" t="s">
        <v>64</v>
      </c>
      <c r="C31" s="8">
        <v>7.59</v>
      </c>
      <c r="D31" s="2">
        <v>1</v>
      </c>
      <c r="E31" s="8">
        <f t="shared" si="1"/>
        <v>7.59</v>
      </c>
      <c r="F31" s="2" t="s">
        <v>65</v>
      </c>
    </row>
    <row r="32" spans="1:6" ht="18.25" customHeight="1" x14ac:dyDescent="0.75">
      <c r="A32" s="2"/>
      <c r="B32" s="2" t="s">
        <v>67</v>
      </c>
      <c r="C32" s="8">
        <v>16.59</v>
      </c>
      <c r="D32" s="2">
        <v>1</v>
      </c>
      <c r="E32" s="8">
        <f t="shared" si="1"/>
        <v>16.59</v>
      </c>
      <c r="F32" s="2" t="s">
        <v>66</v>
      </c>
    </row>
    <row r="33" spans="1:6" ht="18.25" customHeight="1" x14ac:dyDescent="0.75">
      <c r="A33" s="2"/>
      <c r="B33" s="2" t="s">
        <v>102</v>
      </c>
      <c r="C33" s="8">
        <v>11.99</v>
      </c>
      <c r="D33" s="2">
        <v>1</v>
      </c>
      <c r="E33" s="8">
        <f t="shared" si="1"/>
        <v>11.99</v>
      </c>
      <c r="F33" s="2" t="s">
        <v>74</v>
      </c>
    </row>
    <row r="34" spans="1:6" ht="18.25" customHeight="1" x14ac:dyDescent="0.75">
      <c r="A34" s="3"/>
      <c r="B34" s="2" t="s">
        <v>103</v>
      </c>
      <c r="C34" s="8">
        <v>9.99</v>
      </c>
      <c r="D34" s="2">
        <v>1</v>
      </c>
      <c r="E34" s="8">
        <f t="shared" si="1"/>
        <v>9.99</v>
      </c>
      <c r="F34" s="9" t="s">
        <v>75</v>
      </c>
    </row>
    <row r="35" spans="1:6" ht="18.25" customHeight="1" x14ac:dyDescent="0.75">
      <c r="A35" s="3"/>
      <c r="B35" s="2" t="s">
        <v>76</v>
      </c>
      <c r="C35" s="8">
        <v>15.95</v>
      </c>
      <c r="D35" s="2">
        <v>1</v>
      </c>
      <c r="E35" s="8">
        <f t="shared" si="1"/>
        <v>15.95</v>
      </c>
      <c r="F35" s="9" t="s">
        <v>77</v>
      </c>
    </row>
    <row r="36" spans="1:6" ht="18.25" customHeight="1" x14ac:dyDescent="0.75">
      <c r="A36" s="3"/>
      <c r="B36" s="2" t="s">
        <v>100</v>
      </c>
      <c r="C36" s="8">
        <v>6.99</v>
      </c>
      <c r="D36" s="2">
        <v>1</v>
      </c>
      <c r="E36" s="8">
        <f t="shared" si="1"/>
        <v>6.99</v>
      </c>
      <c r="F36" s="9" t="s">
        <v>80</v>
      </c>
    </row>
    <row r="37" spans="1:6" ht="18.25" customHeight="1" x14ac:dyDescent="0.75">
      <c r="A37" s="3"/>
      <c r="B37" s="2" t="s">
        <v>101</v>
      </c>
      <c r="C37" s="8">
        <v>9.89</v>
      </c>
      <c r="D37" s="2">
        <v>1</v>
      </c>
      <c r="E37" s="8">
        <f t="shared" si="1"/>
        <v>9.89</v>
      </c>
      <c r="F37" s="9" t="s">
        <v>86</v>
      </c>
    </row>
    <row r="38" spans="1:6" ht="15.75" x14ac:dyDescent="0.75">
      <c r="A38" s="2"/>
      <c r="B38" s="10" t="s">
        <v>5</v>
      </c>
      <c r="C38" s="11"/>
      <c r="D38" s="10"/>
      <c r="E38" s="12">
        <f>SUM(E27:E37)</f>
        <v>150.17000000000002</v>
      </c>
      <c r="F38" s="10"/>
    </row>
    <row r="39" spans="1:6" ht="15.75" x14ac:dyDescent="0.75">
      <c r="A39" s="2"/>
      <c r="B39" s="2"/>
      <c r="C39" s="2"/>
      <c r="D39" s="2"/>
      <c r="E39" s="2"/>
      <c r="F39" s="2"/>
    </row>
    <row r="40" spans="1:6" ht="15.75" x14ac:dyDescent="0.75">
      <c r="A40" s="4" t="s">
        <v>1</v>
      </c>
      <c r="B40" s="4" t="s">
        <v>16</v>
      </c>
      <c r="C40" s="5"/>
      <c r="D40" s="4"/>
      <c r="E40" s="5"/>
      <c r="F40" s="4"/>
    </row>
    <row r="41" spans="1:6" ht="15.75" x14ac:dyDescent="0.75">
      <c r="A41" s="2"/>
      <c r="B41" s="6" t="s">
        <v>2</v>
      </c>
      <c r="C41" s="7" t="s">
        <v>88</v>
      </c>
      <c r="D41" s="6" t="s">
        <v>4</v>
      </c>
      <c r="E41" s="7" t="s">
        <v>5</v>
      </c>
      <c r="F41" s="6" t="s">
        <v>3</v>
      </c>
    </row>
    <row r="42" spans="1:6" ht="15.75" x14ac:dyDescent="0.75">
      <c r="A42" s="2"/>
      <c r="B42" s="2" t="s">
        <v>59</v>
      </c>
      <c r="C42" s="8">
        <v>29.7</v>
      </c>
      <c r="D42" s="2">
        <v>1</v>
      </c>
      <c r="E42" s="8">
        <f>C42*D42</f>
        <v>29.7</v>
      </c>
      <c r="F42" s="2" t="s">
        <v>58</v>
      </c>
    </row>
    <row r="43" spans="1:6" ht="15.75" x14ac:dyDescent="0.75">
      <c r="A43" s="2"/>
      <c r="B43" s="2" t="s">
        <v>91</v>
      </c>
      <c r="C43" s="8">
        <v>27.5</v>
      </c>
      <c r="D43" s="2">
        <v>1</v>
      </c>
      <c r="E43" s="8">
        <f t="shared" ref="E43:E55" si="2">C43*D43</f>
        <v>27.5</v>
      </c>
      <c r="F43" s="9" t="s">
        <v>60</v>
      </c>
    </row>
    <row r="44" spans="1:6" ht="15.75" x14ac:dyDescent="0.75">
      <c r="A44" s="2"/>
      <c r="B44" s="2" t="s">
        <v>61</v>
      </c>
      <c r="C44" s="8">
        <v>11.99</v>
      </c>
      <c r="D44" s="2">
        <v>1</v>
      </c>
      <c r="E44" s="8">
        <f t="shared" si="2"/>
        <v>11.99</v>
      </c>
      <c r="F44" s="2" t="s">
        <v>62</v>
      </c>
    </row>
    <row r="45" spans="1:6" ht="15.75" x14ac:dyDescent="0.75">
      <c r="A45" s="2"/>
      <c r="B45" s="2" t="s">
        <v>63</v>
      </c>
      <c r="C45" s="8">
        <v>1.99</v>
      </c>
      <c r="D45" s="2">
        <v>2</v>
      </c>
      <c r="E45" s="8">
        <f t="shared" si="2"/>
        <v>3.98</v>
      </c>
      <c r="F45" s="2" t="s">
        <v>41</v>
      </c>
    </row>
    <row r="46" spans="1:6" ht="18.25" customHeight="1" x14ac:dyDescent="0.75">
      <c r="A46" s="2"/>
      <c r="B46" s="2" t="s">
        <v>67</v>
      </c>
      <c r="C46" s="8">
        <v>16.59</v>
      </c>
      <c r="D46" s="2">
        <v>2</v>
      </c>
      <c r="E46" s="8">
        <f t="shared" si="2"/>
        <v>33.18</v>
      </c>
      <c r="F46" s="2" t="s">
        <v>66</v>
      </c>
    </row>
    <row r="47" spans="1:6" ht="15.75" x14ac:dyDescent="0.75">
      <c r="A47" s="2"/>
      <c r="B47" s="2" t="s">
        <v>102</v>
      </c>
      <c r="C47" s="8">
        <v>11.99</v>
      </c>
      <c r="D47" s="2">
        <v>1</v>
      </c>
      <c r="E47" s="8">
        <f t="shared" si="2"/>
        <v>11.99</v>
      </c>
      <c r="F47" s="2" t="s">
        <v>74</v>
      </c>
    </row>
    <row r="48" spans="1:6" ht="18.25" customHeight="1" x14ac:dyDescent="0.75">
      <c r="A48" s="3"/>
      <c r="B48" s="2" t="s">
        <v>103</v>
      </c>
      <c r="C48" s="8">
        <v>9.99</v>
      </c>
      <c r="D48" s="2">
        <v>1</v>
      </c>
      <c r="E48" s="8">
        <f t="shared" si="2"/>
        <v>9.99</v>
      </c>
      <c r="F48" s="9" t="s">
        <v>75</v>
      </c>
    </row>
    <row r="49" spans="1:6" ht="18.25" customHeight="1" x14ac:dyDescent="0.75">
      <c r="A49" s="3"/>
      <c r="B49" s="2" t="s">
        <v>76</v>
      </c>
      <c r="C49" s="8">
        <v>15.95</v>
      </c>
      <c r="D49" s="2">
        <v>1</v>
      </c>
      <c r="E49" s="8">
        <f t="shared" si="2"/>
        <v>15.95</v>
      </c>
      <c r="F49" s="9" t="s">
        <v>77</v>
      </c>
    </row>
    <row r="50" spans="1:6" ht="18.25" customHeight="1" x14ac:dyDescent="0.75">
      <c r="A50" s="3"/>
      <c r="B50" s="2" t="s">
        <v>100</v>
      </c>
      <c r="C50" s="8">
        <v>6.99</v>
      </c>
      <c r="D50" s="2">
        <v>1</v>
      </c>
      <c r="E50" s="8">
        <f t="shared" si="2"/>
        <v>6.99</v>
      </c>
      <c r="F50" s="9" t="s">
        <v>80</v>
      </c>
    </row>
    <row r="51" spans="1:6" ht="15.75" x14ac:dyDescent="0.75">
      <c r="A51" s="2"/>
      <c r="B51" s="2" t="s">
        <v>104</v>
      </c>
      <c r="C51" s="8">
        <v>6.99</v>
      </c>
      <c r="D51" s="2">
        <v>1</v>
      </c>
      <c r="E51" s="8">
        <f t="shared" si="2"/>
        <v>6.99</v>
      </c>
      <c r="F51" s="9" t="s">
        <v>83</v>
      </c>
    </row>
    <row r="52" spans="1:6" ht="15.75" x14ac:dyDescent="0.75">
      <c r="A52" s="2"/>
      <c r="B52" s="2" t="s">
        <v>105</v>
      </c>
      <c r="C52" s="8">
        <v>9.99</v>
      </c>
      <c r="D52" s="2">
        <v>1</v>
      </c>
      <c r="E52" s="8">
        <f t="shared" si="2"/>
        <v>9.99</v>
      </c>
      <c r="F52" s="9" t="s">
        <v>84</v>
      </c>
    </row>
    <row r="53" spans="1:6" ht="15.75" x14ac:dyDescent="0.75">
      <c r="A53" s="2"/>
      <c r="B53" s="2" t="s">
        <v>106</v>
      </c>
      <c r="C53" s="8">
        <v>12.99</v>
      </c>
      <c r="D53" s="2">
        <v>1</v>
      </c>
      <c r="E53" s="8">
        <f t="shared" si="2"/>
        <v>12.99</v>
      </c>
      <c r="F53" s="9" t="s">
        <v>85</v>
      </c>
    </row>
    <row r="54" spans="1:6" ht="15.75" x14ac:dyDescent="0.75">
      <c r="A54" s="2"/>
      <c r="B54" s="2" t="s">
        <v>101</v>
      </c>
      <c r="C54" s="8">
        <v>9.89</v>
      </c>
      <c r="D54" s="2">
        <v>1</v>
      </c>
      <c r="E54" s="8">
        <f t="shared" si="2"/>
        <v>9.89</v>
      </c>
      <c r="F54" s="9" t="s">
        <v>86</v>
      </c>
    </row>
    <row r="55" spans="1:6" ht="18.25" customHeight="1" x14ac:dyDescent="0.75">
      <c r="A55" s="3"/>
      <c r="B55" s="2" t="s">
        <v>107</v>
      </c>
      <c r="C55" s="8">
        <v>7.99</v>
      </c>
      <c r="D55" s="2">
        <v>1</v>
      </c>
      <c r="E55" s="8">
        <f t="shared" si="2"/>
        <v>7.99</v>
      </c>
      <c r="F55" s="9" t="s">
        <v>87</v>
      </c>
    </row>
    <row r="56" spans="1:6" ht="15.75" x14ac:dyDescent="0.75">
      <c r="A56" s="2"/>
      <c r="B56" s="10" t="s">
        <v>5</v>
      </c>
      <c r="C56" s="11"/>
      <c r="D56" s="10"/>
      <c r="E56" s="12">
        <f>SUM(E42:E55)</f>
        <v>199.12</v>
      </c>
      <c r="F56" s="10"/>
    </row>
    <row r="57" spans="1:6" ht="15.75" x14ac:dyDescent="0.75">
      <c r="A57" s="2"/>
      <c r="B57" s="2"/>
      <c r="C57" s="2"/>
      <c r="D57" s="2"/>
      <c r="E57" s="2"/>
      <c r="F57" s="2"/>
    </row>
    <row r="58" spans="1:6" ht="15.75" x14ac:dyDescent="0.75">
      <c r="A58" s="2"/>
      <c r="B58" s="2"/>
      <c r="C58" s="2"/>
      <c r="D58" s="2"/>
      <c r="E58" s="2"/>
      <c r="F58" s="2"/>
    </row>
    <row r="59" spans="1:6" ht="15.75" x14ac:dyDescent="0.75">
      <c r="A59" s="4" t="s">
        <v>1</v>
      </c>
      <c r="B59" s="4" t="s">
        <v>17</v>
      </c>
      <c r="C59" s="5"/>
      <c r="D59" s="4"/>
      <c r="E59" s="5"/>
      <c r="F59" s="4"/>
    </row>
    <row r="60" spans="1:6" ht="15.75" x14ac:dyDescent="0.75">
      <c r="A60" s="2"/>
      <c r="B60" s="6" t="s">
        <v>2</v>
      </c>
      <c r="C60" s="7" t="s">
        <v>88</v>
      </c>
      <c r="D60" s="6" t="s">
        <v>4</v>
      </c>
      <c r="E60" s="7" t="s">
        <v>5</v>
      </c>
      <c r="F60" s="6" t="s">
        <v>3</v>
      </c>
    </row>
    <row r="61" spans="1:6" ht="15.75" x14ac:dyDescent="0.75">
      <c r="A61" s="2"/>
      <c r="B61" s="2" t="s">
        <v>108</v>
      </c>
      <c r="C61" s="8">
        <v>9.9700000000000006</v>
      </c>
      <c r="D61" s="2">
        <v>2</v>
      </c>
      <c r="E61" s="8">
        <f>C61*D61</f>
        <v>19.940000000000001</v>
      </c>
      <c r="F61" s="2" t="s">
        <v>53</v>
      </c>
    </row>
    <row r="62" spans="1:6" ht="15.75" x14ac:dyDescent="0.75">
      <c r="A62" s="2"/>
      <c r="B62" s="2" t="s">
        <v>54</v>
      </c>
      <c r="C62" s="8">
        <v>6.99</v>
      </c>
      <c r="D62" s="2">
        <v>1</v>
      </c>
      <c r="E62" s="8">
        <f t="shared" ref="E62:E67" si="3">C62*D62</f>
        <v>6.99</v>
      </c>
      <c r="F62" s="2" t="s">
        <v>55</v>
      </c>
    </row>
    <row r="63" spans="1:6" ht="15.75" x14ac:dyDescent="0.75">
      <c r="A63" s="2"/>
      <c r="B63" s="2" t="s">
        <v>72</v>
      </c>
      <c r="C63" s="8">
        <v>7.99</v>
      </c>
      <c r="D63" s="2">
        <v>1</v>
      </c>
      <c r="E63" s="8">
        <f t="shared" si="3"/>
        <v>7.99</v>
      </c>
      <c r="F63" s="2" t="s">
        <v>73</v>
      </c>
    </row>
    <row r="64" spans="1:6" ht="15.75" x14ac:dyDescent="0.75">
      <c r="A64" s="2"/>
      <c r="B64" s="2" t="s">
        <v>57</v>
      </c>
      <c r="C64" s="8">
        <v>13.99</v>
      </c>
      <c r="D64" s="2">
        <v>2</v>
      </c>
      <c r="E64" s="8">
        <f t="shared" si="3"/>
        <v>27.98</v>
      </c>
      <c r="F64" s="9" t="s">
        <v>56</v>
      </c>
    </row>
    <row r="65" spans="1:6" ht="15.75" x14ac:dyDescent="0.75">
      <c r="A65" s="2"/>
      <c r="B65" s="2" t="s">
        <v>70</v>
      </c>
      <c r="C65" s="8">
        <v>8.99</v>
      </c>
      <c r="D65" s="2">
        <v>1</v>
      </c>
      <c r="E65" s="8">
        <f t="shared" si="3"/>
        <v>8.99</v>
      </c>
      <c r="F65" s="9" t="s">
        <v>71</v>
      </c>
    </row>
    <row r="66" spans="1:6" ht="15.75" x14ac:dyDescent="0.75">
      <c r="A66" s="2"/>
      <c r="B66" s="2" t="s">
        <v>63</v>
      </c>
      <c r="C66" s="8">
        <v>1.99</v>
      </c>
      <c r="D66" s="2">
        <v>1</v>
      </c>
      <c r="E66" s="8">
        <f t="shared" si="3"/>
        <v>1.99</v>
      </c>
      <c r="F66" s="2" t="s">
        <v>41</v>
      </c>
    </row>
    <row r="67" spans="1:6" ht="18.25" customHeight="1" x14ac:dyDescent="0.75">
      <c r="A67" s="3"/>
      <c r="B67" s="2" t="s">
        <v>76</v>
      </c>
      <c r="C67" s="8">
        <v>15.95</v>
      </c>
      <c r="D67" s="2">
        <v>1</v>
      </c>
      <c r="E67" s="8">
        <f t="shared" si="3"/>
        <v>15.95</v>
      </c>
      <c r="F67" s="9" t="s">
        <v>77</v>
      </c>
    </row>
    <row r="68" spans="1:6" ht="15.75" x14ac:dyDescent="0.75">
      <c r="A68" s="2"/>
      <c r="B68" s="10" t="s">
        <v>5</v>
      </c>
      <c r="C68" s="11"/>
      <c r="D68" s="10"/>
      <c r="E68" s="12">
        <f>SUM(E61:E65)</f>
        <v>71.89</v>
      </c>
      <c r="F68" s="10"/>
    </row>
    <row r="69" spans="1:6" ht="15.75" x14ac:dyDescent="0.75">
      <c r="A69" s="2"/>
      <c r="B69" s="2"/>
      <c r="C69" s="2"/>
      <c r="D69" s="2"/>
      <c r="E69" s="2"/>
      <c r="F69" s="9"/>
    </row>
    <row r="70" spans="1:6" ht="15.75" x14ac:dyDescent="0.75">
      <c r="A70" s="4" t="s">
        <v>1</v>
      </c>
      <c r="B70" s="4" t="s">
        <v>18</v>
      </c>
      <c r="C70" s="5"/>
      <c r="D70" s="4"/>
      <c r="E70" s="5"/>
      <c r="F70" s="4"/>
    </row>
    <row r="71" spans="1:6" ht="15.75" x14ac:dyDescent="0.75">
      <c r="A71" s="2"/>
      <c r="B71" s="6" t="s">
        <v>2</v>
      </c>
      <c r="C71" s="7" t="s">
        <v>88</v>
      </c>
      <c r="D71" s="6" t="s">
        <v>4</v>
      </c>
      <c r="E71" s="7" t="s">
        <v>5</v>
      </c>
      <c r="F71" s="6" t="s">
        <v>3</v>
      </c>
    </row>
    <row r="72" spans="1:6" ht="15.75" x14ac:dyDescent="0.75">
      <c r="A72" s="2"/>
      <c r="B72" s="2" t="s">
        <v>49</v>
      </c>
      <c r="C72" s="8">
        <v>7369</v>
      </c>
      <c r="D72" s="2">
        <v>1</v>
      </c>
      <c r="E72" s="8">
        <f>C72*D72</f>
        <v>7369</v>
      </c>
      <c r="F72" s="2" t="s">
        <v>50</v>
      </c>
    </row>
    <row r="73" spans="1:6" ht="15.75" x14ac:dyDescent="0.75">
      <c r="A73" s="2"/>
      <c r="B73" s="2" t="s">
        <v>90</v>
      </c>
      <c r="C73" s="8">
        <v>1804.05</v>
      </c>
      <c r="D73" s="2">
        <v>1</v>
      </c>
      <c r="E73" s="8">
        <f t="shared" ref="E73:E76" si="4">C73*D73</f>
        <v>1804.05</v>
      </c>
      <c r="F73" s="2" t="s">
        <v>51</v>
      </c>
    </row>
    <row r="74" spans="1:6" ht="15.75" x14ac:dyDescent="0.75">
      <c r="A74" s="2"/>
      <c r="B74" s="2" t="s">
        <v>109</v>
      </c>
      <c r="C74" s="8">
        <v>1214</v>
      </c>
      <c r="D74" s="2">
        <v>1</v>
      </c>
      <c r="E74" s="8">
        <f t="shared" si="4"/>
        <v>1214</v>
      </c>
      <c r="F74" s="2" t="s">
        <v>52</v>
      </c>
    </row>
    <row r="75" spans="1:6" ht="15.75" x14ac:dyDescent="0.75">
      <c r="A75" s="2"/>
      <c r="B75" s="2" t="s">
        <v>110</v>
      </c>
      <c r="C75" s="8">
        <v>392</v>
      </c>
      <c r="D75" s="2">
        <v>1</v>
      </c>
      <c r="E75" s="8">
        <f t="shared" si="4"/>
        <v>392</v>
      </c>
      <c r="F75" s="2" t="s">
        <v>52</v>
      </c>
    </row>
    <row r="76" spans="1:6" ht="15.75" x14ac:dyDescent="0.75">
      <c r="A76" s="2"/>
      <c r="B76" s="2" t="s">
        <v>63</v>
      </c>
      <c r="C76" s="8">
        <v>1.99</v>
      </c>
      <c r="D76" s="2">
        <v>1</v>
      </c>
      <c r="E76" s="8">
        <f t="shared" si="4"/>
        <v>1.99</v>
      </c>
      <c r="F76" s="2" t="s">
        <v>41</v>
      </c>
    </row>
    <row r="77" spans="1:6" ht="15.75" x14ac:dyDescent="0.75">
      <c r="A77" s="2"/>
      <c r="B77" s="10" t="s">
        <v>5</v>
      </c>
      <c r="C77" s="11"/>
      <c r="D77" s="10"/>
      <c r="E77" s="12">
        <f>SUM(E72:E75)</f>
        <v>10779.05</v>
      </c>
      <c r="F77" s="10"/>
    </row>
    <row r="78" spans="1:6" ht="15.75" x14ac:dyDescent="0.75">
      <c r="A78" s="2"/>
      <c r="B78" s="2"/>
      <c r="C78" s="2"/>
      <c r="D78" s="2"/>
      <c r="E78" s="2"/>
      <c r="F78" s="2"/>
    </row>
    <row r="79" spans="1:6" ht="15.75" x14ac:dyDescent="0.75">
      <c r="B79" s="4" t="s">
        <v>8</v>
      </c>
      <c r="C79" s="5"/>
      <c r="D79" s="4"/>
      <c r="E79" s="5"/>
      <c r="F79" s="4"/>
    </row>
    <row r="80" spans="1:6" ht="15.75" x14ac:dyDescent="0.75">
      <c r="A80" s="2"/>
      <c r="B80" s="6" t="s">
        <v>2</v>
      </c>
      <c r="C80" s="7" t="s">
        <v>88</v>
      </c>
      <c r="D80" s="6" t="s">
        <v>4</v>
      </c>
      <c r="E80" s="7" t="s">
        <v>5</v>
      </c>
      <c r="F80" s="6" t="s">
        <v>3</v>
      </c>
    </row>
    <row r="81" spans="1:6" ht="15.75" x14ac:dyDescent="0.75">
      <c r="A81" s="2"/>
      <c r="B81" s="2" t="s">
        <v>6</v>
      </c>
      <c r="C81" s="8">
        <v>64.650000000000006</v>
      </c>
      <c r="D81" s="2">
        <v>1</v>
      </c>
      <c r="E81" s="8">
        <f>C81*D81</f>
        <v>64.650000000000006</v>
      </c>
      <c r="F81" s="9" t="s">
        <v>13</v>
      </c>
    </row>
    <row r="82" spans="1:6" ht="15.75" x14ac:dyDescent="0.75">
      <c r="A82" s="2"/>
      <c r="B82" s="2" t="s">
        <v>7</v>
      </c>
      <c r="C82" s="8">
        <v>40.5</v>
      </c>
      <c r="D82" s="2">
        <v>1</v>
      </c>
      <c r="E82" s="8">
        <f t="shared" ref="E82:E85" si="5">C82*D82</f>
        <v>40.5</v>
      </c>
      <c r="F82" s="2" t="s">
        <v>12</v>
      </c>
    </row>
    <row r="83" spans="1:6" ht="15.75" x14ac:dyDescent="0.75">
      <c r="A83" s="2"/>
      <c r="B83" s="2" t="s">
        <v>9</v>
      </c>
      <c r="C83" s="8">
        <v>26.7</v>
      </c>
      <c r="D83" s="2">
        <v>1</v>
      </c>
      <c r="E83" s="8">
        <f t="shared" si="5"/>
        <v>26.7</v>
      </c>
      <c r="F83" s="13" t="s">
        <v>11</v>
      </c>
    </row>
    <row r="84" spans="1:6" ht="15.75" x14ac:dyDescent="0.75">
      <c r="A84" s="2"/>
      <c r="B84" s="2" t="s">
        <v>89</v>
      </c>
      <c r="C84" s="8">
        <v>133.19999999999999</v>
      </c>
      <c r="D84" s="2">
        <v>1</v>
      </c>
      <c r="E84" s="8">
        <f t="shared" si="5"/>
        <v>133.19999999999999</v>
      </c>
      <c r="F84" s="13" t="s">
        <v>10</v>
      </c>
    </row>
    <row r="85" spans="1:6" ht="15.75" x14ac:dyDescent="0.75">
      <c r="A85" s="2"/>
      <c r="B85" s="2" t="s">
        <v>111</v>
      </c>
      <c r="C85" s="8">
        <v>3.58</v>
      </c>
      <c r="D85" s="2">
        <v>4</v>
      </c>
      <c r="E85" s="8">
        <f t="shared" si="5"/>
        <v>14.32</v>
      </c>
      <c r="F85" s="13" t="s">
        <v>11</v>
      </c>
    </row>
    <row r="86" spans="1:6" ht="15.75" x14ac:dyDescent="0.75">
      <c r="A86" s="3"/>
      <c r="B86" s="14" t="s">
        <v>5</v>
      </c>
      <c r="C86" s="15"/>
      <c r="D86" s="14"/>
      <c r="E86" s="16">
        <f>SUM(E81:E85)</f>
        <v>279.36999999999995</v>
      </c>
      <c r="F86" s="14"/>
    </row>
  </sheetData>
  <hyperlinks>
    <hyperlink ref="F64" r:id="rId1" display="https://www.amazon.com/dp/B0BRKHGQQ5/ref=sspa_dk_detail_0?pd_rd_i=B0BRKHGQQ5&amp;pd_rd_w=HFQjA&amp;content-id=amzn1.sym.8c2f9165-8e93-42a1-8313-73d3809141a2&amp;pf_rd_p=8c2f9165-8e93-42a1-8313-73d3809141a2&amp;pf_rd_r=JHHK1HZ6V6DH5YCZ5GQ4&amp;pd_rd_wg=0Pmxt&amp;pd_rd_r=6e16c162-c67c-4d30-af9d-bf31b6acbc09&amp;s=industrial&amp;sp_csd=d2lkZ2V0TmFtZT1zcF9kZXRhaWw&amp;th=1" xr:uid="{B8AFF202-8BD9-4F10-8645-DD1847DD178D}"/>
    <hyperlink ref="F9" r:id="rId2" xr:uid="{10DA0770-CEB1-4B0D-8BDB-2F5DA033D166}"/>
    <hyperlink ref="F65" r:id="rId3" display="https://www.amazon.com/Silicon-CellarBrew-Silicone-Brewing-Winemaking/dp/B08RYFKD53?pd_rd_w=ar5QS&amp;content-id=amzn1.sym.ea1d9533-fbb7-4608-bb6f-bfdceb6f6336&amp;pf_rd_p=ea1d9533-fbb7-4608-bb6f-bfdceb6f6336&amp;pf_rd_r=8MDS0NGF34CWQ783ZKSF&amp;pd_rd_wg=q9QsH&amp;pd_rd_r=d6e5686f-26d8-446e-99c9-adfcd3deaecb&amp;ref_=sspa_dk_detail_2&amp;sp_csd=d2lkZ2V0TmFtZT1zcF9kZXRhaWxfdGhlbWF0aWM&amp;th=1" xr:uid="{FD0A84D9-DF53-44BC-826A-489DF59BBC72}"/>
    <hyperlink ref="F34" r:id="rId4" display="https://www.amazon.com/HiPicco-Bearings-F8-16M-Miniature-Direction/dp/B0BXY9VF8X/ref=sr_1_4_sspa?crid=3MHOZ0GLNWD4A&amp;keywords=3-piece%2Bthrust%2Bbearing%2B8mm%2Bbore&amp;qid=1741739394&amp;s=industrial&amp;sprefix=3-piece%2Bthrust%2Bbearing%2B8mm%2Bbo%2Cindustrial%2C156&amp;sr=1-4-spons&amp;sp_csd=d2lkZ2V0TmFtZT1zcF9tdGY&amp;th=1" xr:uid="{F289D78D-7BFD-4E58-8314-223E581B7C0F}"/>
    <hyperlink ref="F48" r:id="rId5" display="https://www.amazon.com/HiPicco-Bearings-F8-16M-Miniature-Direction/dp/B0BXY9VF8X/ref=sr_1_4_sspa?crid=3MHOZ0GLNWD4A&amp;keywords=3-piece%2Bthrust%2Bbearing%2B8mm%2Bbore&amp;qid=1741739394&amp;s=industrial&amp;sprefix=3-piece%2Bthrust%2Bbearing%2B8mm%2Bbo%2Cindustrial%2C156&amp;sr=1-4-spons&amp;sp_csd=d2lkZ2V0TmFtZT1zcF9tdGY&amp;th=1" xr:uid="{51C74B87-2B0A-4F38-96B8-FEADCE38E4AF}"/>
    <hyperlink ref="F49" r:id="rId6" xr:uid="{3C5B79E9-CD92-4877-8769-BF516113AFAA}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97452-FAA8-48FF-AF45-88C39A33A84C}">
  <dimension ref="A1:E14"/>
  <sheetViews>
    <sheetView workbookViewId="0">
      <selection activeCell="A10" sqref="A10"/>
    </sheetView>
  </sheetViews>
  <sheetFormatPr defaultRowHeight="14.5" x14ac:dyDescent="0.7"/>
  <cols>
    <col min="1" max="1" width="19.5" style="3" bestFit="1" customWidth="1"/>
    <col min="2" max="2" width="21.7265625" style="3" customWidth="1"/>
    <col min="3" max="3" width="14.31640625" style="3" bestFit="1" customWidth="1"/>
    <col min="4" max="16384" width="8.7265625" style="3"/>
  </cols>
  <sheetData>
    <row r="1" spans="1:5" ht="28" customHeight="1" x14ac:dyDescent="0.7">
      <c r="A1" s="30" t="s">
        <v>92</v>
      </c>
      <c r="B1" s="30"/>
      <c r="C1" s="24" t="s">
        <v>93</v>
      </c>
    </row>
    <row r="2" spans="1:5" ht="18" x14ac:dyDescent="0.7">
      <c r="A2" s="31" t="s">
        <v>14</v>
      </c>
      <c r="B2" s="31"/>
      <c r="C2" s="25">
        <v>2207</v>
      </c>
    </row>
    <row r="3" spans="1:5" ht="18" x14ac:dyDescent="0.7">
      <c r="A3" s="32" t="s">
        <v>98</v>
      </c>
      <c r="B3" s="27" t="s">
        <v>95</v>
      </c>
      <c r="C3" s="28">
        <v>150</v>
      </c>
    </row>
    <row r="4" spans="1:5" ht="18" x14ac:dyDescent="0.7">
      <c r="A4" s="32"/>
      <c r="B4" s="27" t="s">
        <v>96</v>
      </c>
      <c r="C4" s="28">
        <v>199</v>
      </c>
    </row>
    <row r="5" spans="1:5" ht="18" x14ac:dyDescent="0.7">
      <c r="A5" s="32"/>
      <c r="B5" s="27" t="s">
        <v>94</v>
      </c>
      <c r="C5" s="28">
        <v>72</v>
      </c>
    </row>
    <row r="6" spans="1:5" ht="18" x14ac:dyDescent="0.7">
      <c r="A6" s="26" t="s">
        <v>99</v>
      </c>
      <c r="B6" s="27" t="s">
        <v>97</v>
      </c>
      <c r="C6" s="25">
        <v>10779</v>
      </c>
    </row>
    <row r="7" spans="1:5" ht="18" x14ac:dyDescent="0.7">
      <c r="A7" s="30" t="s">
        <v>5</v>
      </c>
      <c r="B7" s="30"/>
      <c r="C7" s="29">
        <f>SUM(C2:C6)</f>
        <v>13407</v>
      </c>
      <c r="D7" s="22"/>
      <c r="E7" s="21"/>
    </row>
    <row r="8" spans="1:5" ht="14.75" x14ac:dyDescent="0.7">
      <c r="D8" s="18"/>
      <c r="E8" s="19"/>
    </row>
    <row r="9" spans="1:5" ht="14.75" x14ac:dyDescent="0.7">
      <c r="D9" s="18"/>
      <c r="E9" s="17"/>
    </row>
    <row r="10" spans="1:5" ht="15.5" x14ac:dyDescent="0.7">
      <c r="B10" s="33"/>
      <c r="D10" s="18"/>
      <c r="E10" s="17"/>
    </row>
    <row r="11" spans="1:5" ht="14.75" x14ac:dyDescent="0.7">
      <c r="D11" s="18"/>
      <c r="E11" s="17"/>
    </row>
    <row r="12" spans="1:5" ht="14.75" x14ac:dyDescent="0.7">
      <c r="D12" s="18"/>
      <c r="E12" s="19"/>
    </row>
    <row r="13" spans="1:5" ht="14.75" x14ac:dyDescent="0.7">
      <c r="D13" s="18"/>
      <c r="E13" s="17"/>
    </row>
    <row r="14" spans="1:5" ht="14.75" x14ac:dyDescent="0.7">
      <c r="D14" s="20"/>
      <c r="E14" s="23"/>
    </row>
  </sheetData>
  <mergeCells count="4">
    <mergeCell ref="A1:B1"/>
    <mergeCell ref="A2:B2"/>
    <mergeCell ref="A3:A5"/>
    <mergeCell ref="A7:B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Zuyang Ye</dc:creator>
  <cp:lastModifiedBy>Zuyang Ye</cp:lastModifiedBy>
  <dcterms:created xsi:type="dcterms:W3CDTF">2025-10-13T20:38:56Z</dcterms:created>
  <dcterms:modified xsi:type="dcterms:W3CDTF">2026-02-17T15:32:38Z</dcterms:modified>
</cp:coreProperties>
</file>